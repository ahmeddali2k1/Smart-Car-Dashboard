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aluation Form" sheetId="1" state="visible" r:id="rId3"/>
    <sheet name="Responses" sheetId="2" state="visible" r:id="rId4"/>
    <sheet name="Results 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<sst xmlns="http://schemas.openxmlformats.org/spreadsheetml/2006/main" count="77" uniqueCount="66">
  <si>
    <t xml:space="preserve">Smart Car Dashboard — Evaluation Form</t>
  </si>
  <si>
    <t xml:space="preserve">Purpose</t>
  </si>
  <si>
    <t xml:space="preserve">This form is used to evaluate the Android Smart Car Dashboard prototype. It focuses on usability, interface clarity, automotive suitability, and alert feedback.</t>
  </si>
  <si>
    <t xml:space="preserve">Instructions</t>
  </si>
  <si>
    <t xml:space="preserve">Please test the application on the Android emulator and answer the questions below. Use a 1–5 rating scale: 1 = Strongly Disagree, 5 = Strongly Agree.</t>
  </si>
  <si>
    <t xml:space="preserve">Participant Information</t>
  </si>
  <si>
    <t xml:space="preserve">Participant ID</t>
  </si>
  <si>
    <t xml:space="preserve">P___</t>
  </si>
  <si>
    <t xml:space="preserve">Date</t>
  </si>
  <si>
    <t xml:space="preserve">2026-07-05</t>
  </si>
  <si>
    <t xml:space="preserve">Device/Emulator Used</t>
  </si>
  <si>
    <t xml:space="preserve">Android Studio Emulator</t>
  </si>
  <si>
    <t xml:space="preserve">Rating Questions</t>
  </si>
  <si>
    <t xml:space="preserve">Scale: 1 = Strongly Disagree, 5 = Strongly Agree</t>
  </si>
  <si>
    <t xml:space="preserve">Q1</t>
  </si>
  <si>
    <t xml:space="preserve">The dashboard is easy to understand at a glance.</t>
  </si>
  <si>
    <t xml:space="preserve">Q2</t>
  </si>
  <si>
    <t xml:space="preserve">The speed, RPM, and fuel values are readable on the screen.</t>
  </si>
  <si>
    <t xml:space="preserve">Q3</t>
  </si>
  <si>
    <t xml:space="preserve">The speedometer gauge is clear and easy to read.</t>
  </si>
  <si>
    <t xml:space="preserve">Q4</t>
  </si>
  <si>
    <t xml:space="preserve">The voice speed warning is noticeable and useful.</t>
  </si>
  <si>
    <t xml:space="preserve">Q5</t>
  </si>
  <si>
    <t xml:space="preserve">The visual alert banner helps me notice speeding quickly.</t>
  </si>
  <si>
    <t xml:space="preserve">Q6</t>
  </si>
  <si>
    <t xml:space="preserve">The weather card is useful and easy to understand.</t>
  </si>
  <si>
    <t xml:space="preserve">Q7</t>
  </si>
  <si>
    <t xml:space="preserve">The color coding (green/yellow/red) helps me react quickly.</t>
  </si>
  <si>
    <t xml:space="preserve">Q8</t>
  </si>
  <si>
    <t xml:space="preserve">The interface feels suitable for an automotive display.</t>
  </si>
  <si>
    <t xml:space="preserve">Q9</t>
  </si>
  <si>
    <t xml:space="preserve">The app updates quickly and reliably as data changes.</t>
  </si>
  <si>
    <t xml:space="preserve">Q10</t>
  </si>
  <si>
    <t xml:space="preserve">Overall, I am satisfied with the prototype.</t>
  </si>
  <si>
    <t xml:space="preserve">Open Questions</t>
  </si>
  <si>
    <t xml:space="preserve">O1</t>
  </si>
  <si>
    <t xml:space="preserve">What did you like most about the dashboard?</t>
  </si>
  <si>
    <t xml:space="preserve">O2</t>
  </si>
  <si>
    <t xml:space="preserve">What was confusing or difficult to use?</t>
  </si>
  <si>
    <t xml:space="preserve">O3</t>
  </si>
  <si>
    <t xml:space="preserve">What feature should be added in the future?</t>
  </si>
  <si>
    <t xml:space="preserve">Timestamp</t>
  </si>
  <si>
    <t xml:space="preserve">Q1 Dashboard easy to understand</t>
  </si>
  <si>
    <t xml:space="preserve">Q2 Readability</t>
  </si>
  <si>
    <t xml:space="preserve">Q3 Speedometer clarity</t>
  </si>
  <si>
    <t xml:space="preserve">Q4 Voice warning useful</t>
  </si>
  <si>
    <t xml:space="preserve">Q5 Visual banner useful</t>
  </si>
  <si>
    <t xml:space="preserve">Q6 Weather card useful</t>
  </si>
  <si>
    <t xml:space="preserve">Q7 Colors helpful</t>
  </si>
  <si>
    <t xml:space="preserve">Q8 Automotive suitability</t>
  </si>
  <si>
    <t xml:space="preserve">Q9 App responsiveness</t>
  </si>
  <si>
    <t xml:space="preserve">Q10 Overall satisfaction</t>
  </si>
  <si>
    <t xml:space="preserve">O1 Liked most</t>
  </si>
  <si>
    <t xml:space="preserve">O2 Confusing/difficult</t>
  </si>
  <si>
    <t xml:space="preserve">O3 Future feature</t>
  </si>
  <si>
    <t xml:space="preserve">Smart Car Dashboard — Evaluation Summary</t>
  </si>
  <si>
    <t xml:space="preserve">Use this sheet after entering participant responses in the Responses sheet.</t>
  </si>
  <si>
    <t xml:space="preserve">Key Performance Indicators</t>
  </si>
  <si>
    <t xml:space="preserve">Number of Participants</t>
  </si>
  <si>
    <t xml:space="preserve">Average Overall Rating</t>
  </si>
  <si>
    <t xml:space="preserve">Highest Rated Question</t>
  </si>
  <si>
    <t xml:space="preserve">Lowest Rated Question</t>
  </si>
  <si>
    <t xml:space="preserve">Question</t>
  </si>
  <si>
    <t xml:space="preserve">Average Rating</t>
  </si>
  <si>
    <t xml:space="preserve">Interpretation</t>
  </si>
  <si>
    <t xml:space="preserve">Tip: After collecting Google Form responses, copy the results into the Responses sheet. The averages and interpretation fields update automatically.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</si>
</sst>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b val="true"/>
      <sz val="11"/>
      <color rgb="FF0B122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4"/>
      <color rgb="FFFFFFF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B1220"/>
        <bgColor rgb="FF000000"/>
      </patternFill>
    </fill>
    <fill>
      <patternFill patternType="solid">
        <fgColor rgb="FFE0F2FE"/>
        <bgColor rgb="FFDBEAFE"/>
      </patternFill>
    </fill>
    <fill>
      <patternFill patternType="solid">
        <fgColor rgb="FF1D4ED8"/>
        <bgColor rgb="FF3366FF"/>
      </patternFill>
    </fill>
    <fill>
      <patternFill patternType="solid">
        <fgColor rgb="FFDBEAFE"/>
        <bgColor rgb="FFE0F2F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E0F2FE"/>
      <rgbColor rgb="FF660066"/>
      <rgbColor rgb="FFFF8080"/>
      <rgbColor rgb="FF1D4ED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B122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Rating per Question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'Results Summary'!B10</c:f>
              <c:strCache>
                <c:ptCount val="1"/>
                <c:pt idx="0">
                  <c:v>Average Rating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'Results Summary'!$A$11:$A$20</c:f>
              <c:strCache>
                <c:ptCount val="10"/>
                <c:pt idx="0">
                  <c:v>Q1 Dashboard easy to understand</c:v>
                </c:pt>
                <c:pt idx="1">
                  <c:v>Q2 Readability</c:v>
                </c:pt>
                <c:pt idx="2">
                  <c:v>Q3 Speedometer clarity</c:v>
                </c:pt>
                <c:pt idx="3">
                  <c:v>Q4 Voice warning useful</c:v>
                </c:pt>
                <c:pt idx="4">
                  <c:v>Q5 Visual banner useful</c:v>
                </c:pt>
                <c:pt idx="5">
                  <c:v>Q6 Weather card useful</c:v>
                </c:pt>
                <c:pt idx="6">
                  <c:v>Q7 Colors helpful</c:v>
                </c:pt>
                <c:pt idx="7">
                  <c:v>Q8 Automotive suitability</c:v>
                </c:pt>
                <c:pt idx="8">
                  <c:v>Q9 App responsiveness</c:v>
                </c:pt>
                <c:pt idx="9">
                  <c:v>Q10 Overall satisfaction</c:v>
                </c:pt>
              </c:strCache>
            </c:strRef>
          </c:cat>
          <c:val>
            <c:numRef>
              <c:f>'Results Summary'!$B$11:$B$20</c:f>
              <c:numCache>
                <c:formatCode>General</c:formatCode>
                <c:ptCount val="10"/>
              </c:numCache>
            </c:numRef>
          </c:val>
        </c:ser>
        <c:gapWidth val="150"/>
        <c:overlap val="0"/>
        <c:axId val="68789444"/>
        <c:axId val="39125013"/>
      </c:barChart>
      <c:catAx>
        <c:axId val="687894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125013"/>
        <c:crosses val="autoZero"/>
        <c:auto val="1"/>
        <c:lblAlgn val="ctr"/>
        <c:lblOffset val="100"/>
        <c:noMultiLvlLbl val="0"/>
      </c:catAx>
      <c:valAx>
        <c:axId val="39125013"/>
        <c:scaling>
          <c:orientation val="minMax"/>
          <c:max val="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Average (1–5)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78944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9</xdr:row>
      <xdr:rowOff>0</xdr:rowOff>
    </xdr:from>
    <xdr:to>
      <xdr:col>16</xdr:col>
      <xdr:colOff>581760</xdr:colOff>
      <xdr:row>27</xdr:row>
      <xdr:rowOff>170640</xdr:rowOff>
    </xdr:to>
    <xdr:graphicFrame>
      <xdr:nvGraphicFramePr>
        <xdr:cNvPr id="0" name="Chart 1"/>
        <xdr:cNvGraphicFramePr/>
      </xdr:nvGraphicFramePr>
      <xdr:xfrm>
        <a:off x="6673320" y="184788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EvaluationResponses" displayName="EvaluationResponses" ref="A1:O21" headerRowCount="1" totalsRowCount="0" totalsRowShown="0">
  <autoFilter ref="A1:O21"/>
  <tableColumns count="15">
    <tableColumn id="1" name="Timestamp"/>
    <tableColumn id="2" name="Participant ID"/>
    <tableColumn id="3" name="Q1 Dashboard easy to understand"/>
    <tableColumn id="4" name="Q2 Readability"/>
    <tableColumn id="5" name="Q3 Speedometer clarity"/>
    <tableColumn id="6" name="Q4 Voice warning useful"/>
    <tableColumn id="7" name="Q5 Visual banner useful"/>
    <tableColumn id="8" name="Q6 Weather card useful"/>
    <tableColumn id="9" name="Q7 Colors helpful"/>
    <tableColumn id="10" name="Q8 Automotive suitability"/>
    <tableColumn id="11" name="Q9 App responsiveness"/>
    <tableColumn id="12" name="Q10 Overall satisfaction"/>
    <tableColumn id="13" name="O1 Liked most"/>
    <tableColumn id="14" name="O2 Confusing/difficult"/>
    <tableColumn id="15" name="O3 Future featur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0"/>
  </cols>
  <sheetData>
    <row r="1" customFormat="false" ht="27.75" hidden="false" customHeight="true" outlineLevel="0" collapsed="false">
      <c r="A1" s="1" t="s">
        <v>0</v>
      </c>
      <c r="B1" s="1"/>
    </row>
    <row r="2" customFormat="false" ht="28.35" hidden="false" customHeight="false" outlineLevel="0" collapsed="false">
      <c r="A2" s="2" t="s">
        <v>1</v>
      </c>
      <c r="B2" s="3" t="s">
        <v>2</v>
      </c>
    </row>
    <row r="3" customFormat="false" ht="28.35" hidden="false" customHeight="false" outlineLevel="0" collapsed="false">
      <c r="A3" s="2" t="s">
        <v>3</v>
      </c>
      <c r="B3" s="3" t="s">
        <v>4</v>
      </c>
    </row>
    <row r="5" customFormat="false" ht="15" hidden="false" customHeight="false" outlineLevel="0" collapsed="false">
      <c r="A5" s="4" t="s">
        <v>5</v>
      </c>
      <c r="B5" s="4"/>
    </row>
    <row r="6" customFormat="false" ht="15" hidden="false" customHeight="false" outlineLevel="0" collapsed="false">
      <c r="A6" s="0" t="s">
        <v>6</v>
      </c>
      <c r="B6" s="0" t="s">
        <v>7</v>
      </c>
    </row>
    <row r="7" customFormat="false" ht="15" hidden="false" customHeight="false" outlineLevel="0" collapsed="false">
      <c r="A7" s="0" t="s">
        <v>8</v>
      </c>
      <c r="B7" s="0" t="s">
        <v>9</v>
      </c>
    </row>
    <row r="8" customFormat="false" ht="15" hidden="false" customHeight="false" outlineLevel="0" collapsed="false">
      <c r="A8" s="0" t="s">
        <v>10</v>
      </c>
      <c r="B8" s="0" t="s">
        <v>11</v>
      </c>
    </row>
    <row r="10" customFormat="false" ht="15" hidden="false" customHeight="false" outlineLevel="0" collapsed="false">
      <c r="A10" s="4" t="s">
        <v>12</v>
      </c>
      <c r="B10" s="4" t="s">
        <v>13</v>
      </c>
    </row>
    <row r="11" customFormat="false" ht="15" hidden="false" customHeight="false" outlineLevel="0" collapsed="false">
      <c r="A11" s="5" t="s">
        <v>14</v>
      </c>
      <c r="B11" s="3" t="s">
        <v>15</v>
      </c>
    </row>
    <row r="12" customFormat="false" ht="15" hidden="false" customHeight="false" outlineLevel="0" collapsed="false">
      <c r="A12" s="5" t="s">
        <v>16</v>
      </c>
      <c r="B12" s="3" t="s">
        <v>17</v>
      </c>
    </row>
    <row r="13" customFormat="false" ht="15" hidden="false" customHeight="false" outlineLevel="0" collapsed="false">
      <c r="A13" s="5" t="s">
        <v>18</v>
      </c>
      <c r="B13" s="3" t="s">
        <v>19</v>
      </c>
    </row>
    <row r="14" customFormat="false" ht="15" hidden="false" customHeight="false" outlineLevel="0" collapsed="false">
      <c r="A14" s="5" t="s">
        <v>20</v>
      </c>
      <c r="B14" s="3" t="s">
        <v>21</v>
      </c>
    </row>
    <row r="15" customFormat="false" ht="15" hidden="false" customHeight="false" outlineLevel="0" collapsed="false">
      <c r="A15" s="5" t="s">
        <v>22</v>
      </c>
      <c r="B15" s="3" t="s">
        <v>23</v>
      </c>
    </row>
    <row r="16" customFormat="false" ht="15" hidden="false" customHeight="false" outlineLevel="0" collapsed="false">
      <c r="A16" s="5" t="s">
        <v>24</v>
      </c>
      <c r="B16" s="3" t="s">
        <v>25</v>
      </c>
    </row>
    <row r="17" customFormat="false" ht="15" hidden="false" customHeight="false" outlineLevel="0" collapsed="false">
      <c r="A17" s="5" t="s">
        <v>26</v>
      </c>
      <c r="B17" s="3" t="s">
        <v>27</v>
      </c>
    </row>
    <row r="18" customFormat="false" ht="15" hidden="false" customHeight="false" outlineLevel="0" collapsed="false">
      <c r="A18" s="5" t="s">
        <v>28</v>
      </c>
      <c r="B18" s="3" t="s">
        <v>29</v>
      </c>
    </row>
    <row r="19" customFormat="false" ht="15" hidden="false" customHeight="false" outlineLevel="0" collapsed="false">
      <c r="A19" s="5" t="s">
        <v>30</v>
      </c>
      <c r="B19" s="3" t="s">
        <v>31</v>
      </c>
    </row>
    <row r="20" customFormat="false" ht="15" hidden="false" customHeight="false" outlineLevel="0" collapsed="false">
      <c r="A20" s="5" t="s">
        <v>32</v>
      </c>
      <c r="B20" s="3" t="s">
        <v>33</v>
      </c>
    </row>
    <row r="22" customFormat="false" ht="15" hidden="false" customHeight="false" outlineLevel="0" collapsed="false">
      <c r="A22" s="4" t="s">
        <v>34</v>
      </c>
      <c r="B22" s="4"/>
    </row>
    <row r="23" customFormat="false" ht="15" hidden="false" customHeight="false" outlineLevel="0" collapsed="false">
      <c r="A23" s="5" t="s">
        <v>35</v>
      </c>
      <c r="B23" s="3" t="s">
        <v>36</v>
      </c>
    </row>
    <row r="24" customFormat="false" ht="15" hidden="false" customHeight="false" outlineLevel="0" collapsed="false">
      <c r="A24" s="5" t="s">
        <v>37</v>
      </c>
      <c r="B24" s="3" t="s">
        <v>38</v>
      </c>
    </row>
    <row r="25" customFormat="false" ht="15" hidden="false" customHeight="false" outlineLevel="0" collapsed="false">
      <c r="A25" s="5" t="s">
        <v>39</v>
      </c>
      <c r="B25" s="3" t="s">
        <v>40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11" min="3" style="0" width="16"/>
    <col collapsed="false" customWidth="true" hidden="false" outlineLevel="0" max="14" min="12" style="0" width="32"/>
  </cols>
  <sheetData>
    <row r="1" customFormat="false" ht="15" hidden="false" customHeight="false" outlineLevel="0" collapsed="false">
      <c r="A1" s="6" t="s">
        <v>41</v>
      </c>
      <c r="B1" s="6" t="s">
        <v>6</v>
      </c>
      <c r="C1" s="6" t="s">
        <v>42</v>
      </c>
      <c r="D1" s="6" t="s">
        <v>43</v>
      </c>
      <c r="E1" s="6" t="s">
        <v>44</v>
      </c>
      <c r="F1" s="6" t="s">
        <v>45</v>
      </c>
      <c r="G1" s="6" t="s">
        <v>46</v>
      </c>
      <c r="H1" s="6" t="s">
        <v>47</v>
      </c>
      <c r="I1" s="6" t="s">
        <v>48</v>
      </c>
      <c r="J1" s="6" t="s">
        <v>49</v>
      </c>
      <c r="K1" s="6" t="s">
        <v>50</v>
      </c>
      <c r="L1" s="6" t="s">
        <v>51</v>
      </c>
      <c r="M1" s="6" t="s">
        <v>52</v>
      </c>
      <c r="N1" s="6" t="s">
        <v>53</v>
      </c>
      <c r="O1" s="6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8"/>
    <col collapsed="false" customWidth="true" hidden="false" outlineLevel="0" max="3" min="3" style="0" width="22"/>
  </cols>
  <sheetData>
    <row r="1" customFormat="false" ht="25.5" hidden="false" customHeight="true" outlineLevel="0" collapsed="false">
      <c r="A1" s="7" t="s">
        <v>55</v>
      </c>
      <c r="B1" s="7"/>
      <c r="C1" s="7"/>
    </row>
    <row r="2" customFormat="false" ht="15" hidden="false" customHeight="false" outlineLevel="0" collapsed="false">
      <c r="A2" s="0" t="s">
        <v>56</v>
      </c>
    </row>
    <row r="4" customFormat="false" ht="15" hidden="false" customHeight="false" outlineLevel="0" collapsed="false">
      <c r="A4" s="4" t="s">
        <v>57</v>
      </c>
      <c r="B4" s="4"/>
    </row>
    <row r="5" customFormat="false" ht="15" hidden="false" customHeight="false" outlineLevel="0" collapsed="false">
      <c r="A5" s="0" t="s">
        <v>58</v>
      </c>
      <c r="B5" s="0" t="n">
        <f aca="false">COUNTA(Responses!B2:B21)</f>
        <v>0</v>
      </c>
    </row>
    <row r="6" customFormat="false" ht="15" hidden="false" customHeight="false" outlineLevel="0" collapsed="false">
      <c r="A6" s="0" t="s">
        <v>59</v>
      </c>
      <c r="B6" s="0" t="str">
        <f aca="false">IFERROR(AVERAGE(Responses!C2:L21),"")</f>
        <v/>
      </c>
    </row>
    <row r="7" customFormat="false" ht="15" hidden="false" customHeight="false" outlineLevel="0" collapsed="false">
      <c r="A7" s="0" t="s">
        <v>60</v>
      </c>
      <c r="B7" s="0" t="str">
        <f aca="false">IFERROR(INDEX(A11:A20,MATCH(MAX(B11:B20),B11:B20,0)),"")</f>
        <v/>
      </c>
    </row>
    <row r="8" customFormat="false" ht="15" hidden="false" customHeight="false" outlineLevel="0" collapsed="false">
      <c r="A8" s="0" t="s">
        <v>61</v>
      </c>
      <c r="B8" s="0" t="str">
        <f aca="false">IFERROR(INDEX(A11:A20,MATCH(MIN(B11:B20),B11:B20,0)),"")</f>
        <v/>
      </c>
    </row>
    <row r="10" customFormat="false" ht="15" hidden="false" customHeight="false" outlineLevel="0" collapsed="false">
      <c r="A10" s="8" t="s">
        <v>62</v>
      </c>
      <c r="B10" s="8" t="s">
        <v>63</v>
      </c>
      <c r="C10" s="8" t="s">
        <v>64</v>
      </c>
    </row>
    <row r="11" customFormat="false" ht="15" hidden="false" customHeight="false" outlineLevel="0" collapsed="false">
      <c r="A11" s="0" t="s">
        <v>42</v>
      </c>
      <c r="B11" s="0" t="str">
        <f aca="false">IFERROR(AVERAGE(Responses!C2:C21),"")</f>
        <v/>
      </c>
      <c r="C11" s="0" t="str">
        <f aca="false">IF(B11="","",IF(B11&gt;=4,"Strong",IF(B11&gt;=3,"Acceptable","Needs improvement")))</f>
        <v/>
      </c>
    </row>
    <row r="12" customFormat="false" ht="15" hidden="false" customHeight="false" outlineLevel="0" collapsed="false">
      <c r="A12" s="0" t="s">
        <v>43</v>
      </c>
      <c r="B12" s="0" t="str">
        <f aca="false">IFERROR(AVERAGE(Responses!D2:D21),"")</f>
        <v/>
      </c>
      <c r="C12" s="0" t="str">
        <f aca="false">IF(B12="","",IF(B12&gt;=4,"Strong",IF(B12&gt;=3,"Acceptable","Needs improvement")))</f>
        <v/>
      </c>
    </row>
    <row r="13" customFormat="false" ht="15" hidden="false" customHeight="false" outlineLevel="0" collapsed="false">
      <c r="A13" s="0" t="s">
        <v>44</v>
      </c>
      <c r="B13" s="0" t="str">
        <f aca="false">IFERROR(AVERAGE(Responses!E2:E21),"")</f>
        <v/>
      </c>
      <c r="C13" s="0" t="str">
        <f aca="false">IF(B13="","",IF(B13&gt;=4,"Strong",IF(B13&gt;=3,"Acceptable","Needs improvement")))</f>
        <v/>
      </c>
    </row>
    <row r="14" customFormat="false" ht="15" hidden="false" customHeight="false" outlineLevel="0" collapsed="false">
      <c r="A14" s="0" t="s">
        <v>45</v>
      </c>
      <c r="B14" s="0" t="str">
        <f aca="false">IFERROR(AVERAGE(Responses!F2:F21),"")</f>
        <v/>
      </c>
      <c r="C14" s="0" t="str">
        <f aca="false">IF(B14="","",IF(B14&gt;=4,"Strong",IF(B14&gt;=3,"Acceptable","Needs improvement")))</f>
        <v/>
      </c>
    </row>
    <row r="15" customFormat="false" ht="15" hidden="false" customHeight="false" outlineLevel="0" collapsed="false">
      <c r="A15" s="0" t="s">
        <v>46</v>
      </c>
      <c r="B15" s="0" t="str">
        <f aca="false">IFERROR(AVERAGE(Responses!G2:G21),"")</f>
        <v/>
      </c>
      <c r="C15" s="0" t="str">
        <f aca="false">IF(B15="","",IF(B15&gt;=4,"Strong",IF(B15&gt;=3,"Acceptable","Needs improvement")))</f>
        <v/>
      </c>
    </row>
    <row r="16" customFormat="false" ht="15" hidden="false" customHeight="false" outlineLevel="0" collapsed="false">
      <c r="A16" s="0" t="s">
        <v>47</v>
      </c>
      <c r="B16" s="0" t="str">
        <f aca="false">IFERROR(AVERAGE(Responses!H2:H21),"")</f>
        <v/>
      </c>
      <c r="C16" s="0" t="str">
        <f aca="false">IF(B16="","",IF(B16&gt;=4,"Strong",IF(B16&gt;=3,"Acceptable","Needs improvement")))</f>
        <v/>
      </c>
    </row>
    <row r="17" customFormat="false" ht="15" hidden="false" customHeight="false" outlineLevel="0" collapsed="false">
      <c r="A17" s="0" t="s">
        <v>48</v>
      </c>
      <c r="B17" s="0" t="str">
        <f aca="false">IFERROR(AVERAGE(Responses!I2:I21),"")</f>
        <v/>
      </c>
      <c r="C17" s="0" t="str">
        <f aca="false">IF(B17="","",IF(B17&gt;=4,"Strong",IF(B17&gt;=3,"Acceptable","Needs improvement")))</f>
        <v/>
      </c>
    </row>
    <row r="18" customFormat="false" ht="15" hidden="false" customHeight="false" outlineLevel="0" collapsed="false">
      <c r="A18" s="0" t="s">
        <v>49</v>
      </c>
      <c r="B18" s="0" t="str">
        <f aca="false">IFERROR(AVERAGE(Responses!J2:J21),"")</f>
        <v/>
      </c>
      <c r="C18" s="0" t="str">
        <f aca="false">IF(B18="","",IF(B18&gt;=4,"Strong",IF(B18&gt;=3,"Acceptable","Needs improvement")))</f>
        <v/>
      </c>
    </row>
    <row r="19" customFormat="false" ht="15" hidden="false" customHeight="false" outlineLevel="0" collapsed="false">
      <c r="A19" s="0" t="s">
        <v>50</v>
      </c>
      <c r="B19" s="0" t="str">
        <f aca="false">IFERROR(AVERAGE(Responses!K2:K21),"")</f>
        <v/>
      </c>
      <c r="C19" s="0" t="str">
        <f aca="false">IF(B19="","",IF(B19&gt;=4,"Strong",IF(B19&gt;=3,"Acceptable","Needs improvement")))</f>
        <v/>
      </c>
    </row>
    <row r="20" customFormat="false" ht="15" hidden="false" customHeight="false" outlineLevel="0" collapsed="false">
      <c r="A20" s="0" t="s">
        <v>51</v>
      </c>
      <c r="B20" s="0" t="str">
        <f aca="false">IFERROR(AVERAGE(Responses!L2:L21),"")</f>
        <v/>
      </c>
      <c r="C20" s="0" t="str">
        <f aca="false">IF(B20="","",IF(B20&gt;=4,"Strong",IF(B20&gt;=3,"Acceptable","Needs improvement")))</f>
        <v/>
      </c>
    </row>
    <row r="23" customFormat="false" ht="15" hidden="false" customHeight="false" outlineLevel="0" collapsed="false">
      <c r="A23" s="9" t="s">
        <v>65</v>
      </c>
      <c r="B23" s="9"/>
      <c r="C23" s="9"/>
    </row>
  </sheetData>
  <mergeCells count="2">
    <mergeCell ref="A1:C1"/>
    <mergeCell ref="A23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2026-07-05T16:22:17Z</dcterms:created>
  <dc:creator>openpyxl</dc:creator>
  <dc:description/>
  <dc:language>en-US</dc:language>
  <cp:lastModifiedBy/>
  <dcterms:modified xsi:type="dcterms:W3CDTF">2026-07-05T16:22:23Z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